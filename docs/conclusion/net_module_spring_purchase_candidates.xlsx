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ung\Desktop\"/>
    </mc:Choice>
  </mc:AlternateContent>
  <xr:revisionPtr revIDLastSave="0" documentId="8_{0924F965-07CA-48AA-A558-511FFF2CD6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구매 후보" sheetId="1" r:id="rId1"/>
    <sheet name="설계 기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 s="1"/>
  <c r="L8" i="1"/>
  <c r="J8" i="1"/>
  <c r="K8" i="1" s="1"/>
  <c r="L7" i="1"/>
  <c r="M7" i="1" s="1"/>
  <c r="J7" i="1"/>
  <c r="K7" i="1" s="1"/>
  <c r="L6" i="1"/>
  <c r="M6" i="1" s="1"/>
  <c r="J6" i="1"/>
  <c r="K6" i="1" s="1"/>
  <c r="L5" i="1"/>
  <c r="M5" i="1" s="1"/>
  <c r="J5" i="1"/>
  <c r="K5" i="1" s="1"/>
  <c r="M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tc={91CA7ABF-6ACE-FD14-4335-DCD58D57B8A4}</author>
    <author>tc={41B0E53C-030E-4A33-09B0-7C628A507E73}</author>
  </authors>
  <commentList>
    <comment ref="J5" authorId="0" shapeId="0" xr:uid="{00000000-0006-0000-00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잠금 시 예상 장력 = 초기 장력 + 스프링 상수 × (잠금 장착거리 - 자유장)</t>
      </text>
    </comment>
    <comment ref="N5" authorId="1" shapeId="0" xr:uid="{00000000-0006-0000-00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Lee Spring 판매 페이지에서 형번 LEM045B 06 S를 검색</t>
      </text>
    </comment>
  </commentList>
</comments>
</file>

<file path=xl/sharedStrings.xml><?xml version="1.0" encoding="utf-8"?>
<sst xmlns="http://schemas.openxmlformats.org/spreadsheetml/2006/main" count="74" uniqueCount="64">
  <si>
    <t>Net Module 기성 인장 스프링 구매 후보</t>
  </si>
  <si>
    <t>주문제작 제외 · 2026-07-31 조사 · 실제 구매 전 판매처 재고와 최신 데이터시트 확인 필요</t>
  </si>
  <si>
    <t>순위</t>
  </si>
  <si>
    <t>제조사/형번</t>
  </si>
  <si>
    <t>재질</t>
  </si>
  <si>
    <t>자유장 (mm)</t>
  </si>
  <si>
    <t>외경 (mm)</t>
  </si>
  <si>
    <t>선경 (mm)</t>
  </si>
  <si>
    <t>스프링 상수 (N/mm)</t>
  </si>
  <si>
    <t>초기 장력 (N)</t>
  </si>
  <si>
    <t>최대 신장 길이 (mm)</t>
  </si>
  <si>
    <t>잠금 시 예상 장력 (N)</t>
  </si>
  <si>
    <t>목표 대비 차이 (N)</t>
  </si>
  <si>
    <t>신장 여유 (mm)</t>
  </si>
  <si>
    <t>판정</t>
  </si>
  <si>
    <t>구매/제품 링크</t>
  </si>
  <si>
    <t>Lee Spring LEM045B 06 S</t>
  </si>
  <si>
    <t>302 스테인리스</t>
  </si>
  <si>
    <t>https://www.leespring.com/extension-springs</t>
  </si>
  <si>
    <t>Lee Spring LEM045B 05 S</t>
  </si>
  <si>
    <t>RS PRO 821-475</t>
  </si>
  <si>
    <t>스테인리스</t>
  </si>
  <si>
    <t>https://kr.rs-online.com/web/p/extension-springs/0821475</t>
  </si>
  <si>
    <t>RS PRO 751-742</t>
  </si>
  <si>
    <t>피아노선 강철</t>
  </si>
  <si>
    <t>https://kr.rs-online.com/web/p/extension-springs/0751742</t>
  </si>
  <si>
    <t>권장 결론</t>
  </si>
  <si>
    <t>1순위 LEM045B 06 S: 잠금 장력은 목표보다 낮지만 최대 신장 여유가 약 8 mm라 프로토타입에 가장 안전함.</t>
  </si>
  <si>
    <t>2순위 LEM045B 05 S: 목표 장력에 가장 가깝지만 최대 신장 여유가 약 2 mm뿐이므로 정적 비교시험용으로 제한함.</t>
  </si>
  <si>
    <t>RS PRO 제품은 국내 구매가 쉽지만 초기 장력이 높아 기존 모델보다 충격과 전개속도가 커질 수 있으므로 값 변경 후 재시뮬레이션이 필요함.</t>
  </si>
  <si>
    <t>Net Module 인장 스프링 설계 기준</t>
  </si>
  <si>
    <t>항목</t>
  </si>
  <si>
    <t>기준값</t>
  </si>
  <si>
    <t>단위</t>
  </si>
  <si>
    <t>설명</t>
  </si>
  <si>
    <t>잠금 상태 장착거리</t>
  </si>
  <si>
    <t>mm</t>
  </si>
  <si>
    <t>Fusion 360 측정값</t>
  </si>
  <si>
    <t>전개 상태 장착거리(최소)</t>
  </si>
  <si>
    <t>형상 추정값</t>
  </si>
  <si>
    <t>전개 상태 장착거리(시뮬레이션)</t>
  </si>
  <si>
    <t>Simulink 최소 길이</t>
  </si>
  <si>
    <t>목표 스프링 상수</t>
  </si>
  <si>
    <t>N/mm</t>
  </si>
  <si>
    <t>기존 2-DOF 시뮬레이션 기준</t>
  </si>
  <si>
    <t>목표 자유장</t>
  </si>
  <si>
    <t>후크 포함</t>
  </si>
  <si>
    <t>목표 초기 장력</t>
  </si>
  <si>
    <t>N</t>
  </si>
  <si>
    <t>기존 시뮬레이션 기준</t>
  </si>
  <si>
    <t>목표 잠금 장력</t>
  </si>
  <si>
    <t>기존 시뮬레이션 결과</t>
  </si>
  <si>
    <t>권장 최소 최대신장길이</t>
  </si>
  <si>
    <t>잠금거리에서 5 mm 여유 적용</t>
  </si>
  <si>
    <t>권장 외경</t>
  </si>
  <si>
    <t>mm 이상</t>
  </si>
  <si>
    <t>초기 권장 범위 6~8 mm</t>
  </si>
  <si>
    <t>계산식</t>
  </si>
  <si>
    <t>값</t>
  </si>
  <si>
    <t>비고</t>
  </si>
  <si>
    <t>잠금 상태 변위</t>
  </si>
  <si>
    <t>잠금거리-자유장</t>
  </si>
  <si>
    <t>목표 모델 잠금 장력</t>
  </si>
  <si>
    <t>초기장력+k×변위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</si>
</sst>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9">
    <font>
      <sz val="11"/>
      <name val="Carlito"/>
    </font>
    <font>
      <b/>
      <sz val="18"/>
      <color rgb="FFFFFFFF"/>
      <name val="Carlito"/>
    </font>
    <font>
      <i/>
      <sz val="11"/>
      <color rgb="FF203040"/>
      <name val="Carlito"/>
    </font>
    <font>
      <b/>
      <sz val="11"/>
      <color rgb="FFFFFFFF"/>
      <name val="Carlito"/>
    </font>
    <font>
      <sz val="11"/>
      <color rgb="FF0563C1"/>
      <name val="Carlito"/>
    </font>
    <font>
      <b/>
      <sz val="12"/>
      <color rgb="FFFFFFFF"/>
      <name val="Carlito"/>
    </font>
    <font>
      <sz val="11"/>
      <color rgb="FF243447"/>
      <name val="Carlito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0253F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3F6F9"/>
      </patternFill>
    </fill>
  </fills>
  <borders count="16">
    <border>
      <left/>
      <right/>
      <top/>
      <bottom/>
      <diagonal/>
    </border>
    <border>
      <left/>
      <right style="thin">
        <color rgb="FFAAB7C4"/>
      </right>
      <top/>
      <bottom/>
      <diagonal/>
    </border>
    <border>
      <left style="thin">
        <color rgb="FFAAB7C4"/>
      </left>
      <right style="thin">
        <color rgb="FFAAB7C4"/>
      </right>
      <top/>
      <bottom/>
      <diagonal/>
    </border>
    <border>
      <left style="thin">
        <color rgb="FFAAB7C4"/>
      </left>
      <right/>
      <top/>
      <bottom/>
      <diagonal/>
    </border>
    <border>
      <left/>
      <right style="thin">
        <color rgb="FFD7DEE5"/>
      </right>
      <top/>
      <bottom style="thin">
        <color rgb="FFD7DEE5"/>
      </bottom>
      <diagonal/>
    </border>
    <border>
      <left style="thin">
        <color rgb="FFD7DEE5"/>
      </left>
      <right style="thin">
        <color rgb="FFD7DEE5"/>
      </right>
      <top/>
      <bottom style="thin">
        <color rgb="FFD7DEE5"/>
      </bottom>
      <diagonal/>
    </border>
    <border>
      <left style="thin">
        <color rgb="FFD7DEE5"/>
      </left>
      <right style="thin">
        <color rgb="FFAAB7C4"/>
      </right>
      <top/>
      <bottom style="thin">
        <color rgb="FFD7DEE5"/>
      </bottom>
      <diagonal/>
    </border>
    <border>
      <left/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 style="thin">
        <color rgb="FFAAB7C4"/>
      </right>
      <top style="thin">
        <color rgb="FFD7DEE5"/>
      </top>
      <bottom style="thin">
        <color rgb="FFD7DEE5"/>
      </bottom>
      <diagonal/>
    </border>
    <border>
      <left/>
      <right style="thin">
        <color rgb="FFD7DEE5"/>
      </right>
      <top style="thin">
        <color rgb="FFD7DEE5"/>
      </top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/>
      <diagonal/>
    </border>
    <border>
      <left style="thin">
        <color rgb="FFD7DEE5"/>
      </left>
      <right style="thin">
        <color rgb="FFAAB7C4"/>
      </right>
      <top style="thin">
        <color rgb="FFD7DEE5"/>
      </top>
      <bottom/>
      <diagonal/>
    </border>
    <border>
      <left style="thin">
        <color rgb="FFD7DEE5"/>
      </left>
      <right/>
      <top/>
      <bottom style="thin">
        <color rgb="FFD7DEE5"/>
      </bottom>
      <diagonal/>
    </border>
    <border>
      <left style="thin">
        <color rgb="FFD7DEE5"/>
      </left>
      <right/>
      <top style="thin">
        <color rgb="FFD7DEE5"/>
      </top>
      <bottom style="thin">
        <color rgb="FFD7DEE5"/>
      </bottom>
      <diagonal/>
    </border>
    <border>
      <left style="thin">
        <color rgb="FFD7DEE5"/>
      </left>
      <right/>
      <top style="thin">
        <color rgb="FFD7DEE5"/>
      </top>
      <bottom/>
      <diagonal/>
    </border>
  </borders>
  <cellStyleXfs count="2">
    <xf numFmtId="0" fontId="0" fillId="0" borderId="0"/>
    <xf numFmtId="0" fontId="7" fillId="0" borderId="0"/>
  </cellStyleXfs>
  <cellXfs count="48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0" fillId="0" borderId="7" xfId="1" applyFont="1" applyBorder="1"/>
    <xf numFmtId="0" fontId="0" fillId="0" borderId="8" xfId="1" applyFont="1" applyBorder="1"/>
    <xf numFmtId="0" fontId="0" fillId="0" borderId="10" xfId="1" applyFont="1" applyBorder="1"/>
    <xf numFmtId="0" fontId="0" fillId="0" borderId="11" xfId="1" applyFont="1" applyBorder="1"/>
    <xf numFmtId="1" fontId="0" fillId="5" borderId="7" xfId="1" applyNumberFormat="1" applyFont="1" applyFill="1" applyBorder="1" applyAlignment="1">
      <alignment horizontal="left" vertical="center"/>
    </xf>
    <xf numFmtId="0" fontId="0" fillId="5" borderId="8" xfId="1" applyFont="1" applyFill="1" applyBorder="1" applyAlignment="1">
      <alignment horizontal="left" vertical="center"/>
    </xf>
    <xf numFmtId="2" fontId="0" fillId="5" borderId="8" xfId="1" applyNumberFormat="1" applyFont="1" applyFill="1" applyBorder="1" applyAlignment="1">
      <alignment horizontal="right" vertical="center"/>
    </xf>
    <xf numFmtId="0" fontId="0" fillId="5" borderId="8" xfId="1" applyFont="1" applyFill="1" applyBorder="1" applyAlignment="1">
      <alignment horizontal="center" vertical="center"/>
    </xf>
    <xf numFmtId="0" fontId="4" fillId="5" borderId="9" xfId="1" applyFont="1" applyFill="1" applyBorder="1" applyAlignment="1">
      <alignment vertical="center"/>
    </xf>
    <xf numFmtId="1" fontId="0" fillId="6" borderId="7" xfId="1" applyNumberFormat="1" applyFont="1" applyFill="1" applyBorder="1" applyAlignment="1">
      <alignment horizontal="left" vertical="center"/>
    </xf>
    <xf numFmtId="0" fontId="0" fillId="6" borderId="8" xfId="1" applyFont="1" applyFill="1" applyBorder="1" applyAlignment="1">
      <alignment horizontal="left" vertical="center"/>
    </xf>
    <xf numFmtId="2" fontId="0" fillId="6" borderId="8" xfId="1" applyNumberFormat="1" applyFont="1" applyFill="1" applyBorder="1" applyAlignment="1">
      <alignment horizontal="right" vertical="center"/>
    </xf>
    <xf numFmtId="0" fontId="0" fillId="6" borderId="8" xfId="1" applyFont="1" applyFill="1" applyBorder="1" applyAlignment="1">
      <alignment horizontal="center" vertical="center"/>
    </xf>
    <xf numFmtId="0" fontId="4" fillId="6" borderId="9" xfId="1" applyFont="1" applyFill="1" applyBorder="1" applyAlignment="1">
      <alignment vertical="center"/>
    </xf>
    <xf numFmtId="1" fontId="0" fillId="7" borderId="7" xfId="1" applyNumberFormat="1" applyFont="1" applyFill="1" applyBorder="1" applyAlignment="1">
      <alignment horizontal="left" vertical="center"/>
    </xf>
    <xf numFmtId="0" fontId="0" fillId="7" borderId="8" xfId="1" applyFont="1" applyFill="1" applyBorder="1" applyAlignment="1">
      <alignment horizontal="left" vertical="center"/>
    </xf>
    <xf numFmtId="2" fontId="0" fillId="7" borderId="8" xfId="1" applyNumberFormat="1" applyFont="1" applyFill="1" applyBorder="1" applyAlignment="1">
      <alignment horizontal="right" vertical="center"/>
    </xf>
    <xf numFmtId="0" fontId="0" fillId="7" borderId="8" xfId="1" applyFont="1" applyFill="1" applyBorder="1" applyAlignment="1">
      <alignment horizontal="center" vertical="center"/>
    </xf>
    <xf numFmtId="0" fontId="4" fillId="7" borderId="9" xfId="1" applyFont="1" applyFill="1" applyBorder="1" applyAlignment="1">
      <alignment vertical="center"/>
    </xf>
    <xf numFmtId="1" fontId="0" fillId="7" borderId="10" xfId="1" applyNumberFormat="1" applyFont="1" applyFill="1" applyBorder="1" applyAlignment="1">
      <alignment horizontal="left" vertical="center"/>
    </xf>
    <xf numFmtId="0" fontId="0" fillId="7" borderId="11" xfId="1" applyFont="1" applyFill="1" applyBorder="1" applyAlignment="1">
      <alignment horizontal="left" vertical="center"/>
    </xf>
    <xf numFmtId="2" fontId="0" fillId="7" borderId="11" xfId="1" applyNumberFormat="1" applyFont="1" applyFill="1" applyBorder="1" applyAlignment="1">
      <alignment horizontal="right" vertical="center"/>
    </xf>
    <xf numFmtId="0" fontId="0" fillId="7" borderId="11" xfId="1" applyFont="1" applyFill="1" applyBorder="1" applyAlignment="1">
      <alignment horizontal="center" vertical="center"/>
    </xf>
    <xf numFmtId="0" fontId="4" fillId="7" borderId="12" xfId="1" applyFont="1" applyFill="1" applyBorder="1" applyAlignment="1">
      <alignment vertical="center"/>
    </xf>
    <xf numFmtId="0" fontId="0" fillId="0" borderId="4" xfId="1" applyFont="1" applyBorder="1"/>
    <xf numFmtId="0" fontId="0" fillId="0" borderId="5" xfId="1" applyFont="1" applyBorder="1"/>
    <xf numFmtId="0" fontId="0" fillId="0" borderId="13" xfId="1" applyFont="1" applyBorder="1"/>
    <xf numFmtId="0" fontId="0" fillId="0" borderId="14" xfId="1" applyFont="1" applyBorder="1"/>
    <xf numFmtId="0" fontId="0" fillId="0" borderId="15" xfId="1" applyFont="1" applyBorder="1"/>
    <xf numFmtId="176" fontId="0" fillId="0" borderId="0" xfId="1" applyNumberFormat="1" applyFont="1"/>
    <xf numFmtId="176" fontId="3" fillId="4" borderId="2" xfId="1" applyNumberFormat="1" applyFont="1" applyFill="1" applyBorder="1" applyAlignment="1">
      <alignment horizontal="center" vertical="center" wrapText="1"/>
    </xf>
    <xf numFmtId="176" fontId="0" fillId="6" borderId="5" xfId="1" applyNumberFormat="1" applyFont="1" applyFill="1" applyBorder="1"/>
    <xf numFmtId="176" fontId="0" fillId="6" borderId="8" xfId="1" applyNumberFormat="1" applyFont="1" applyFill="1" applyBorder="1"/>
    <xf numFmtId="176" fontId="0" fillId="6" borderId="11" xfId="1" applyNumberFormat="1" applyFont="1" applyFill="1" applyBorder="1"/>
    <xf numFmtId="176" fontId="0" fillId="5" borderId="5" xfId="1" applyNumberFormat="1" applyFont="1" applyFill="1" applyBorder="1"/>
    <xf numFmtId="176" fontId="0" fillId="5" borderId="11" xfId="1" applyNumberFormat="1" applyFont="1" applyFill="1" applyBorder="1"/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vertical="center"/>
    </xf>
    <xf numFmtId="0" fontId="5" fillId="4" borderId="0" xfId="1" applyFont="1" applyFill="1"/>
    <xf numFmtId="0" fontId="6" fillId="8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1219200</xdr:colOff>
      <xdr:row>34</xdr:row>
      <xdr:rowOff>68580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BF7B6C42-A977-B34F-3225-6582A580A9E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소희" id="{18288250-216E-439D-9D9E-877BA5177776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6-07-31T10:47:29.72" personId="{18288250-216E-439D-9D9E-877BA5177776}" id="{91CA7ABF-6ACE-FD14-4335-DCD58D57B8A4}">
    <text>잠금 시 예상 장력 = 초기 장력 + 스프링 상수 × (잠금 장착거리 - 자유장)</text>
  </threadedComment>
  <threadedComment ref="N5" dT="2026-07-31T10:47:29.73" personId="{18288250-216E-439D-9D9E-877BA5177776}" id="{41B0E53C-030E-4A33-09B0-7C628A507E73}">
    <text>Lee Spring 판매 페이지에서 형번 LEM045B 06 S를 검색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showGridLines="0" tabSelected="1" topLeftCell="A2" workbookViewId="0">
      <selection activeCell="F18" sqref="F18"/>
    </sheetView>
  </sheetViews>
  <sheetFormatPr defaultRowHeight="13.8"/>
  <cols>
    <col min="1" max="1" width="7" customWidth="1"/>
    <col min="2" max="2" width="27" customWidth="1"/>
    <col min="3" max="3" width="16" customWidth="1"/>
    <col min="4" max="4" width="12" customWidth="1"/>
    <col min="5" max="6" width="11" customWidth="1"/>
    <col min="7" max="7" width="18" customWidth="1"/>
    <col min="8" max="8" width="15" customWidth="1"/>
    <col min="9" max="9" width="18" customWidth="1"/>
    <col min="10" max="10" width="19" customWidth="1"/>
    <col min="11" max="11" width="16" customWidth="1"/>
    <col min="12" max="12" width="14" customWidth="1"/>
    <col min="13" max="13" width="20" customWidth="1"/>
    <col min="14" max="14" width="48" customWidth="1"/>
  </cols>
  <sheetData>
    <row r="1" spans="1:14" ht="34.049999999999997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4.4">
      <c r="A2" s="45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4" spans="1:14" ht="42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6" t="s">
        <v>15</v>
      </c>
    </row>
    <row r="5" spans="1:14">
      <c r="A5" s="11">
        <v>1</v>
      </c>
      <c r="B5" s="12" t="s">
        <v>16</v>
      </c>
      <c r="C5" s="12" t="s">
        <v>17</v>
      </c>
      <c r="D5" s="13">
        <v>25</v>
      </c>
      <c r="E5" s="13">
        <v>4.5</v>
      </c>
      <c r="F5" s="13">
        <v>0.45</v>
      </c>
      <c r="G5" s="13">
        <v>0.16600000000000001</v>
      </c>
      <c r="H5" s="13">
        <v>0.95</v>
      </c>
      <c r="I5" s="13">
        <v>62.33</v>
      </c>
      <c r="J5" s="13">
        <f>H5+G5*('설계 기준'!$B$4-D5)</f>
        <v>5.8202740000000004</v>
      </c>
      <c r="K5" s="13">
        <f>J5-'설계 기준'!$B$10</f>
        <v>-1.5097259999999997</v>
      </c>
      <c r="L5" s="13">
        <f>I5-'설계 기준'!$B$4</f>
        <v>7.9909999999999997</v>
      </c>
      <c r="M5" s="14" t="str">
        <f>IF(L5&lt;0,"사용 불가",IF(L5&lt;5,"정적 비교시험",IF(ABS(K5)&lt;=2,"추천","재시뮬레이션 필요")))</f>
        <v>추천</v>
      </c>
      <c r="N5" s="15" t="s">
        <v>18</v>
      </c>
    </row>
    <row r="6" spans="1:14">
      <c r="A6" s="16">
        <v>2</v>
      </c>
      <c r="B6" s="17" t="s">
        <v>19</v>
      </c>
      <c r="C6" s="17" t="s">
        <v>17</v>
      </c>
      <c r="D6" s="18">
        <v>23</v>
      </c>
      <c r="E6" s="18">
        <v>4.5</v>
      </c>
      <c r="F6" s="18">
        <v>0.45</v>
      </c>
      <c r="G6" s="18">
        <v>0.187</v>
      </c>
      <c r="H6" s="18">
        <v>1.07</v>
      </c>
      <c r="I6" s="18">
        <v>56.29</v>
      </c>
      <c r="J6" s="18">
        <f>H6+G6*('설계 기준'!$B$4-D6)</f>
        <v>6.9303929999999996</v>
      </c>
      <c r="K6" s="18">
        <f>J6-'설계 기준'!$B$10</f>
        <v>-0.39960700000000049</v>
      </c>
      <c r="L6" s="18">
        <f>I6-'설계 기준'!$B$4</f>
        <v>1.9510000000000005</v>
      </c>
      <c r="M6" s="19" t="str">
        <f>IF(L6&lt;0,"사용 불가",IF(L6&lt;5,"정적 비교시험",IF(ABS(K6)&lt;=2,"추천","재시뮬레이션 필요")))</f>
        <v>정적 비교시험</v>
      </c>
      <c r="N6" s="20" t="s">
        <v>18</v>
      </c>
    </row>
    <row r="7" spans="1:14">
      <c r="A7" s="21">
        <v>3</v>
      </c>
      <c r="B7" s="22" t="s">
        <v>20</v>
      </c>
      <c r="C7" s="22" t="s">
        <v>21</v>
      </c>
      <c r="D7" s="23">
        <v>30.4</v>
      </c>
      <c r="E7" s="23">
        <v>6</v>
      </c>
      <c r="F7" s="23">
        <v>0.55000000000000004</v>
      </c>
      <c r="G7" s="23">
        <v>0.12</v>
      </c>
      <c r="H7" s="23">
        <v>7.9</v>
      </c>
      <c r="I7" s="23">
        <v>86.6</v>
      </c>
      <c r="J7" s="23">
        <f>H7+G7*('설계 기준'!$B$4-D7)</f>
        <v>10.772680000000001</v>
      </c>
      <c r="K7" s="23">
        <f>J7-'설계 기준'!$B$10</f>
        <v>3.4426800000000011</v>
      </c>
      <c r="L7" s="23">
        <f>I7-'설계 기준'!$B$4</f>
        <v>32.260999999999996</v>
      </c>
      <c r="M7" s="24" t="str">
        <f>IF(L7&lt;0,"사용 불가",IF(L7&lt;5,"정적 비교시험",IF(ABS(K7)&lt;=2,"추천","재시뮬레이션 필요")))</f>
        <v>재시뮬레이션 필요</v>
      </c>
      <c r="N7" s="25" t="s">
        <v>22</v>
      </c>
    </row>
    <row r="8" spans="1:14">
      <c r="A8" s="26">
        <v>4</v>
      </c>
      <c r="B8" s="27" t="s">
        <v>23</v>
      </c>
      <c r="C8" s="27" t="s">
        <v>24</v>
      </c>
      <c r="D8" s="28">
        <v>30.4</v>
      </c>
      <c r="E8" s="28">
        <v>6</v>
      </c>
      <c r="F8" s="28">
        <v>0.55000000000000004</v>
      </c>
      <c r="G8" s="28">
        <v>0.15</v>
      </c>
      <c r="H8" s="28">
        <v>9.5</v>
      </c>
      <c r="I8" s="28">
        <v>86.6</v>
      </c>
      <c r="J8" s="28">
        <f>H8+G8*('설계 기준'!$B$4-D8)</f>
        <v>13.09085</v>
      </c>
      <c r="K8" s="28">
        <f>J8-'설계 기준'!$B$10</f>
        <v>5.7608499999999996</v>
      </c>
      <c r="L8" s="28">
        <f>I8-'설계 기준'!$B$4</f>
        <v>32.260999999999996</v>
      </c>
      <c r="M8" s="29" t="str">
        <f>IF(L8&lt;0,"사용 불가",IF(L8&lt;5,"정적 비교시험",IF(ABS(K8)&lt;=2,"추천","재시뮬레이션 필요")))</f>
        <v>재시뮬레이션 필요</v>
      </c>
      <c r="N8" s="30" t="s">
        <v>25</v>
      </c>
    </row>
    <row r="10" spans="1:14" ht="15.6">
      <c r="A10" s="46" t="s">
        <v>26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 ht="28.05" customHeight="1">
      <c r="A11" s="47" t="s">
        <v>27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14" ht="28.05" customHeight="1">
      <c r="A12" s="47" t="s">
        <v>28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 spans="1:14" ht="28.05" customHeight="1">
      <c r="A13" s="47" t="s">
        <v>29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</row>
    <row r="15" spans="1:14" ht="34.049999999999997" customHeight="1"/>
  </sheetData>
  <mergeCells count="6">
    <mergeCell ref="A13:N13"/>
    <mergeCell ref="A1:N1"/>
    <mergeCell ref="A2:N2"/>
    <mergeCell ref="A10:N10"/>
    <mergeCell ref="A11:N11"/>
    <mergeCell ref="A12:N12"/>
  </mergeCells>
  <phoneticPr fontId="8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/>
  </sheetViews>
  <sheetFormatPr defaultRowHeight="13.8"/>
  <cols>
    <col min="1" max="1" width="31" customWidth="1"/>
    <col min="2" max="2" width="15" customWidth="1"/>
    <col min="3" max="3" width="13" customWidth="1"/>
    <col min="4" max="4" width="44" customWidth="1"/>
  </cols>
  <sheetData>
    <row r="1" spans="1:4" ht="34.049999999999997" customHeight="1">
      <c r="A1" s="43" t="s">
        <v>30</v>
      </c>
      <c r="B1" s="44"/>
      <c r="C1" s="44"/>
      <c r="D1" s="44"/>
    </row>
    <row r="3" spans="1:4" ht="28.05" customHeight="1">
      <c r="A3" s="1" t="s">
        <v>31</v>
      </c>
      <c r="B3" s="2" t="s">
        <v>32</v>
      </c>
      <c r="C3" s="2" t="s">
        <v>33</v>
      </c>
      <c r="D3" s="3" t="s">
        <v>34</v>
      </c>
    </row>
    <row r="4" spans="1:4">
      <c r="A4" s="31" t="s">
        <v>35</v>
      </c>
      <c r="B4" s="38">
        <v>54.338999999999999</v>
      </c>
      <c r="C4" s="32" t="s">
        <v>36</v>
      </c>
      <c r="D4" s="33" t="s">
        <v>37</v>
      </c>
    </row>
    <row r="5" spans="1:4">
      <c r="A5" s="7" t="s">
        <v>38</v>
      </c>
      <c r="B5" s="39">
        <v>35.6</v>
      </c>
      <c r="C5" s="8" t="s">
        <v>36</v>
      </c>
      <c r="D5" s="34" t="s">
        <v>39</v>
      </c>
    </row>
    <row r="6" spans="1:4">
      <c r="A6" s="7" t="s">
        <v>40</v>
      </c>
      <c r="B6" s="39">
        <v>36.83</v>
      </c>
      <c r="C6" s="8" t="s">
        <v>36</v>
      </c>
      <c r="D6" s="34" t="s">
        <v>41</v>
      </c>
    </row>
    <row r="7" spans="1:4">
      <c r="A7" s="7" t="s">
        <v>42</v>
      </c>
      <c r="B7" s="39">
        <v>0.25</v>
      </c>
      <c r="C7" s="8" t="s">
        <v>43</v>
      </c>
      <c r="D7" s="34" t="s">
        <v>44</v>
      </c>
    </row>
    <row r="8" spans="1:4">
      <c r="A8" s="7" t="s">
        <v>45</v>
      </c>
      <c r="B8" s="39">
        <v>31</v>
      </c>
      <c r="C8" s="8" t="s">
        <v>36</v>
      </c>
      <c r="D8" s="34" t="s">
        <v>46</v>
      </c>
    </row>
    <row r="9" spans="1:4">
      <c r="A9" s="7" t="s">
        <v>47</v>
      </c>
      <c r="B9" s="39">
        <v>1.5</v>
      </c>
      <c r="C9" s="8" t="s">
        <v>48</v>
      </c>
      <c r="D9" s="34" t="s">
        <v>49</v>
      </c>
    </row>
    <row r="10" spans="1:4">
      <c r="A10" s="7" t="s">
        <v>50</v>
      </c>
      <c r="B10" s="39">
        <v>7.33</v>
      </c>
      <c r="C10" s="8" t="s">
        <v>48</v>
      </c>
      <c r="D10" s="34" t="s">
        <v>51</v>
      </c>
    </row>
    <row r="11" spans="1:4">
      <c r="A11" s="7" t="s">
        <v>52</v>
      </c>
      <c r="B11" s="39">
        <v>59.338999999999999</v>
      </c>
      <c r="C11" s="8" t="s">
        <v>36</v>
      </c>
      <c r="D11" s="34" t="s">
        <v>53</v>
      </c>
    </row>
    <row r="12" spans="1:4">
      <c r="A12" s="9" t="s">
        <v>54</v>
      </c>
      <c r="B12" s="40">
        <v>6</v>
      </c>
      <c r="C12" s="10" t="s">
        <v>55</v>
      </c>
      <c r="D12" s="35" t="s">
        <v>56</v>
      </c>
    </row>
    <row r="13" spans="1:4">
      <c r="B13" s="36"/>
    </row>
    <row r="14" spans="1:4">
      <c r="A14" s="1" t="s">
        <v>57</v>
      </c>
      <c r="B14" s="37" t="s">
        <v>58</v>
      </c>
      <c r="C14" s="2" t="s">
        <v>33</v>
      </c>
      <c r="D14" s="3" t="s">
        <v>59</v>
      </c>
    </row>
    <row r="15" spans="1:4">
      <c r="A15" s="31" t="s">
        <v>60</v>
      </c>
      <c r="B15" s="41">
        <f>B4-B8</f>
        <v>23.338999999999999</v>
      </c>
      <c r="C15" s="32" t="s">
        <v>36</v>
      </c>
      <c r="D15" s="33" t="s">
        <v>61</v>
      </c>
    </row>
    <row r="16" spans="1:4">
      <c r="A16" s="9" t="s">
        <v>62</v>
      </c>
      <c r="B16" s="42">
        <f>B9+B7*B15</f>
        <v>7.3347499999999997</v>
      </c>
      <c r="C16" s="10" t="s">
        <v>48</v>
      </c>
      <c r="D16" s="35" t="s">
        <v>63</v>
      </c>
    </row>
  </sheetData>
  <mergeCells count="1">
    <mergeCell ref="A1:D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구매 후보</vt:lpstr>
      <vt:lpstr>설계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김소희</dc:creator>
  <cp:lastModifiedBy>소희 김</cp:lastModifiedBy>
  <dcterms:created xsi:type="dcterms:W3CDTF">2026-07-31T10:48:48Z</dcterms:created>
  <dcterms:modified xsi:type="dcterms:W3CDTF">2026-07-31T10:48:48Z</dcterms:modified>
</cp:coreProperties>
</file>